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_Cross_Domain_Benchmark" sheetId="1" state="visible" r:id="rId1"/>
    <sheet xmlns:r="http://schemas.openxmlformats.org/officeDocument/2006/relationships" name="Stages_1_to_5_Progress" sheetId="2" state="visible" r:id="rId2"/>
    <sheet xmlns:r="http://schemas.openxmlformats.org/officeDocument/2006/relationships" name="Mathematical_Complexity_Models" sheetId="3" state="visible" r:id="rId3"/>
    <sheet xmlns:r="http://schemas.openxmlformats.org/officeDocument/2006/relationships" name="DeepSeek_CoDesign_224x" sheetId="4" state="visible" r:id="rId4"/>
    <sheet xmlns:r="http://schemas.openxmlformats.org/officeDocument/2006/relationships" name="1000_Multi_Year_Benchmar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1"/>
    </font>
    <font>
      <name val="Calibri"/>
      <b val="1"/>
      <color rgb="001D4ED8"/>
      <sz val="11"/>
    </font>
    <font>
      <name val="Calibri"/>
      <b val="1"/>
      <color rgb="001E3A8A"/>
      <sz val="12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0" fontId="5" fillId="4" borderId="1" pivotButton="0" quotePrefix="0" xfId="0"/>
    <xf numFmtId="164" fontId="6" fillId="4" borderId="1" pivotButton="0" quotePrefix="0" xfId="0"/>
    <xf numFmtId="165" fontId="5" fillId="4" borderId="1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5" fillId="5" borderId="1" pivotButton="0" quotePrefix="0" xfId="0"/>
    <xf numFmtId="3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5" customWidth="1" min="3" max="3"/>
    <col width="15" customWidth="1" min="4" max="4"/>
    <col width="19" customWidth="1" min="5" max="5"/>
    <col width="20" customWidth="1" min="6" max="6"/>
    <col width="24" customWidth="1" min="7" max="7"/>
    <col width="32" customWidth="1" min="8" max="8"/>
    <col width="48" customWidth="1" min="9" max="9"/>
  </cols>
  <sheetData>
    <row r="1">
      <c r="A1" s="1" t="inlineStr">
        <is>
          <t>SymboLM Cross-Domain 200-Question Empirical Benchmark (October 12, 2026)</t>
        </is>
      </c>
    </row>
    <row r="2">
      <c r="A2" s="2" t="inlineStr">
        <is>
          <t>Author &amp; Principal Architect: Sanish Gyawali | Operational Exoskeleton: Antigravity (Google DeepMind)</t>
        </is>
      </c>
    </row>
    <row r="3"/>
    <row r="4">
      <c r="A4" s="3" t="inlineStr">
        <is>
          <t>Domain Category</t>
        </is>
      </c>
      <c r="B4" s="3" t="inlineStr">
        <is>
          <t>Questions (N)</t>
        </is>
      </c>
      <c r="C4" s="3" t="inlineStr">
        <is>
          <t>Accuracy (%)</t>
        </is>
      </c>
      <c r="D4" s="3" t="inlineStr">
        <is>
          <t>Correct</t>
        </is>
      </c>
      <c r="E4" s="3" t="inlineStr">
        <is>
          <t>SymboLM Mean Tok</t>
        </is>
      </c>
      <c r="F4" s="3" t="inlineStr">
        <is>
          <t>Baseline Mean Tok</t>
        </is>
      </c>
      <c r="G4" s="3" t="inlineStr">
        <is>
          <t>Token Compression (%)</t>
        </is>
      </c>
      <c r="H4" s="3" t="inlineStr">
        <is>
          <t>Register Routing Fidelity</t>
        </is>
      </c>
      <c r="I4" s="3" t="inlineStr">
        <is>
          <t>Primary Failure Mode</t>
        </is>
      </c>
    </row>
    <row r="5">
      <c r="A5" s="4" t="inlineStr">
        <is>
          <t>Strategic Intent &amp; Pragmatics</t>
        </is>
      </c>
      <c r="B5" s="5" t="n">
        <v>25</v>
      </c>
      <c r="C5" s="6" t="n">
        <v>1</v>
      </c>
      <c r="D5" s="5" t="n">
        <v>25</v>
      </c>
      <c r="E5" s="7" t="n">
        <v>127</v>
      </c>
      <c r="F5" s="7" t="n">
        <v>200</v>
      </c>
      <c r="G5" s="6" t="n">
        <v>0.365</v>
      </c>
      <c r="H5" s="4" t="inlineStr">
        <is>
          <t>100% Intent Routing (25/25)</t>
        </is>
      </c>
      <c r="I5" s="4" t="inlineStr">
        <is>
          <t>None (Flawless communicative tone calibration)</t>
        </is>
      </c>
    </row>
    <row r="6">
      <c r="A6" s="8" t="inlineStr">
        <is>
          <t>Scientific &amp; Multi-Hop Factual QA</t>
        </is>
      </c>
      <c r="B6" s="9" t="n">
        <v>25</v>
      </c>
      <c r="C6" s="10" t="n">
        <v>0.28</v>
      </c>
      <c r="D6" s="9" t="n">
        <v>7</v>
      </c>
      <c r="E6" s="11" t="n">
        <v>94.09999999999999</v>
      </c>
      <c r="F6" s="11" t="n">
        <v>200</v>
      </c>
      <c r="G6" s="10" t="n">
        <v>0.529</v>
      </c>
      <c r="H6" s="8" t="inlineStr">
        <is>
          <t>100% Bypass Routing (25/25)</t>
        </is>
      </c>
      <c r="I6" s="8" t="inlineStr">
        <is>
          <t>Knowledge retrieval boundary in 1.5B weights</t>
        </is>
      </c>
    </row>
    <row r="7">
      <c r="A7" s="4" t="inlineStr">
        <is>
          <t>Pure &amp; Competition Mathematics</t>
        </is>
      </c>
      <c r="B7" s="5" t="n">
        <v>40</v>
      </c>
      <c r="C7" s="6" t="n">
        <v>0.175</v>
      </c>
      <c r="D7" s="5" t="n">
        <v>7</v>
      </c>
      <c r="E7" s="7" t="n">
        <v>128</v>
      </c>
      <c r="F7" s="7" t="n">
        <v>200</v>
      </c>
      <c r="G7" s="6" t="n">
        <v>0.36</v>
      </c>
      <c r="H7" s="4" t="inlineStr">
        <is>
          <t>75% Plan Routing (30/40)</t>
        </is>
      </c>
      <c r="I7" s="4" t="inlineStr">
        <is>
          <t>128-token Truncation Bottleneck before &lt;ans&gt;</t>
        </is>
      </c>
    </row>
    <row r="8">
      <c r="A8" s="8" t="inlineStr">
        <is>
          <t>Computer Science &amp; Discrete Systems</t>
        </is>
      </c>
      <c r="B8" s="9" t="n">
        <v>30</v>
      </c>
      <c r="C8" s="10" t="n">
        <v>0.133</v>
      </c>
      <c r="D8" s="9" t="n">
        <v>4</v>
      </c>
      <c r="E8" s="11" t="n">
        <v>128</v>
      </c>
      <c r="F8" s="11" t="n">
        <v>200</v>
      </c>
      <c r="G8" s="10" t="n">
        <v>0.36</v>
      </c>
      <c r="H8" s="8" t="inlineStr">
        <is>
          <t>97% Plan Routing (29/30)</t>
        </is>
      </c>
      <c r="I8" s="8" t="inlineStr">
        <is>
          <t>128-token Truncation Bottleneck before &lt;ans&gt;</t>
        </is>
      </c>
    </row>
    <row r="9">
      <c r="A9" s="4" t="inlineStr">
        <is>
          <t>Chemistry &amp; Quantitative Biology</t>
        </is>
      </c>
      <c r="B9" s="5" t="n">
        <v>25</v>
      </c>
      <c r="C9" s="6" t="n">
        <v>0.12</v>
      </c>
      <c r="D9" s="5" t="n">
        <v>3</v>
      </c>
      <c r="E9" s="7" t="n">
        <v>115.2</v>
      </c>
      <c r="F9" s="7" t="n">
        <v>200</v>
      </c>
      <c r="G9" s="6" t="n">
        <v>0.424</v>
      </c>
      <c r="H9" s="4" t="inlineStr">
        <is>
          <t>Mixed Bypass (10) &amp; Plan (11)</t>
        </is>
      </c>
      <c r="I9" s="4" t="inlineStr">
        <is>
          <t>Stoichiometric AST arithmetic precision</t>
        </is>
      </c>
    </row>
    <row r="10">
      <c r="A10" s="8" t="inlineStr">
        <is>
          <t>Probability, Statistics &amp; Finance</t>
        </is>
      </c>
      <c r="B10" s="9" t="n">
        <v>25</v>
      </c>
      <c r="C10" s="10" t="n">
        <v>0.08</v>
      </c>
      <c r="D10" s="9" t="n">
        <v>2</v>
      </c>
      <c r="E10" s="11" t="n">
        <v>127.3</v>
      </c>
      <c r="F10" s="11" t="n">
        <v>200</v>
      </c>
      <c r="G10" s="10" t="n">
        <v>0.364</v>
      </c>
      <c r="H10" s="8" t="inlineStr">
        <is>
          <t>92% Plan Routing (23/25)</t>
        </is>
      </c>
      <c r="I10" s="8" t="inlineStr">
        <is>
          <t>Multi-variable combinatorial branching</t>
        </is>
      </c>
    </row>
    <row r="11">
      <c r="A11" s="4" t="inlineStr">
        <is>
          <t>Physics &amp; Engineering</t>
        </is>
      </c>
      <c r="B11" s="5" t="n">
        <v>30</v>
      </c>
      <c r="C11" s="6" t="n">
        <v>0.067</v>
      </c>
      <c r="D11" s="5" t="n">
        <v>2</v>
      </c>
      <c r="E11" s="7" t="n">
        <v>126.3</v>
      </c>
      <c r="F11" s="7" t="n">
        <v>200</v>
      </c>
      <c r="G11" s="6" t="n">
        <v>0.369</v>
      </c>
      <c r="H11" s="4" t="inlineStr">
        <is>
          <t>80% Plan Routing (24/30)</t>
        </is>
      </c>
      <c r="I11" s="4" t="inlineStr">
        <is>
          <t>Dimensional analysis truncation at 128 tokens</t>
        </is>
      </c>
    </row>
    <row r="12">
      <c r="A12" s="12" t="inlineStr">
        <is>
          <t>OVERALL COMPOSITE BENCHMARK</t>
        </is>
      </c>
      <c r="B12" s="12">
        <f>SUM(B5:B11)</f>
        <v/>
      </c>
      <c r="C12" s="13">
        <f>D12/B12</f>
        <v/>
      </c>
      <c r="D12" s="12">
        <f>SUM(D5:D11)</f>
        <v/>
      </c>
      <c r="E12" s="14">
        <f>AVERAGE(E5:E11)</f>
        <v/>
      </c>
      <c r="F12" s="14">
        <f>AVERAGE(F5:F11)</f>
        <v/>
      </c>
      <c r="G12" s="13">
        <f>1-(E12/F12)</f>
        <v/>
      </c>
      <c r="H12" s="12" t="inlineStr">
        <is>
          <t>IER Composite: 20.54</t>
        </is>
      </c>
      <c r="I12" s="12" t="inlineStr">
        <is>
          <t>Resolved by Stage 5 Unbounded Parsimony Gradient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33" customWidth="1" min="2" max="2"/>
    <col width="27" customWidth="1" min="3" max="3"/>
    <col width="27" customWidth="1" min="4" max="4"/>
    <col width="20" customWidth="1" min="5" max="5"/>
    <col width="48" customWidth="1" min="6" max="6"/>
  </cols>
  <sheetData>
    <row r="1">
      <c r="A1" s="1" t="inlineStr">
        <is>
          <t>SymboLM Reinforcement Learning &amp; Post-Training Milestones (Stages 1–5)</t>
        </is>
      </c>
    </row>
    <row r="2"/>
    <row r="3">
      <c r="A3" s="3" t="inlineStr">
        <is>
          <t>Training Stage</t>
        </is>
      </c>
      <c r="B3" s="3" t="inlineStr">
        <is>
          <t>Primary Strategy</t>
        </is>
      </c>
      <c r="C3" s="3" t="inlineStr">
        <is>
          <t>Compute Cluster</t>
        </is>
      </c>
      <c r="D3" s="3" t="inlineStr">
        <is>
          <t>Rollouts / Steps</t>
        </is>
      </c>
      <c r="E3" s="3" t="inlineStr">
        <is>
          <t>Token Compression</t>
        </is>
      </c>
      <c r="F3" s="3" t="inlineStr">
        <is>
          <t>Key Architectural Finding &amp; Empirical Receipt</t>
        </is>
      </c>
    </row>
    <row r="4">
      <c r="A4" s="4" t="inlineStr">
        <is>
          <t>Stage 1 (SFT)</t>
        </is>
      </c>
      <c r="B4" s="4" t="inlineStr">
        <is>
          <t>Syntactic AST Seeding</t>
        </is>
      </c>
      <c r="C4" s="4" t="inlineStr">
        <is>
          <t>Dual Tesla T4 (Kaggle)</t>
        </is>
      </c>
      <c r="D4" s="4" t="inlineStr">
        <is>
          <t>1,600 samples / 1h</t>
        </is>
      </c>
      <c r="E4" s="4" t="inlineStr">
        <is>
          <t>Established Prior</t>
        </is>
      </c>
      <c r="F4" s="4" t="inlineStr">
        <is>
          <t>Established non-zero logit prior for formal AST operators (→, ∴, |, let).</t>
        </is>
      </c>
    </row>
    <row r="5">
      <c r="A5" s="8" t="inlineStr">
        <is>
          <t>Stage 2 (GRPO)</t>
        </is>
      </c>
      <c r="B5" s="8" t="inlineStr">
        <is>
          <t>Direct Arithmetic RL</t>
        </is>
      </c>
      <c r="C5" s="8" t="inlineStr">
        <is>
          <t>Dual Tesla T4 (Kaggle)</t>
        </is>
      </c>
      <c r="D5" s="8" t="inlineStr">
        <is>
          <t>16,000 rollouts / 3h 17m</t>
        </is>
      </c>
      <c r="E5" s="8" t="inlineStr">
        <is>
          <t>98.3% Arithmetic</t>
        </is>
      </c>
      <c r="F5" s="8" t="inlineStr">
        <is>
          <t>Compressed 3x+6=21 to 2 tokens; 51.9% overall compression across Modern Math.</t>
        </is>
      </c>
    </row>
    <row r="6">
      <c r="A6" s="4" t="inlineStr">
        <is>
          <t>Stage 3 (Concept)</t>
        </is>
      </c>
      <c r="B6" s="4" t="inlineStr">
        <is>
          <t>Olympiad Invariant GRPO</t>
        </is>
      </c>
      <c r="C6" s="4" t="inlineStr">
        <is>
          <t>Dual Tesla T4 (Kaggle)</t>
        </is>
      </c>
      <c r="D6" s="4" t="inlineStr">
        <is>
          <t>16,000 rollouts / 3h 31m</t>
        </is>
      </c>
      <c r="E6" s="4" t="inlineStr">
        <is>
          <t>43.5% Mixed</t>
        </is>
      </c>
      <c r="F6" s="4" t="inlineStr">
        <is>
          <t>Discovered Cold-Start Exploration Barrier; multi-register AST seeding must precede RL.</t>
        </is>
      </c>
    </row>
    <row r="7">
      <c r="A7" s="8" t="inlineStr">
        <is>
          <t>Stage 4 (SE-HEA)</t>
        </is>
      </c>
      <c r="B7" s="8" t="inlineStr">
        <is>
          <t>Symbolic Efficiency &amp; Hard EOS</t>
        </is>
      </c>
      <c r="C7" s="8" t="inlineStr">
        <is>
          <t>Single Tesla T4 (Kaggle)</t>
        </is>
      </c>
      <c r="D7" s="8" t="inlineStr">
        <is>
          <t>2,000 rollouts / 2h</t>
        </is>
      </c>
      <c r="E7" s="8" t="inlineStr">
        <is>
          <t>52.9% Factual</t>
        </is>
      </c>
      <c r="F7" s="8" t="inlineStr">
        <is>
          <t>Completely eliminated 220-token repetition loop; cut factual QA to 35 tokens; 1% debris.</t>
        </is>
      </c>
    </row>
    <row r="8">
      <c r="A8" s="4" t="inlineStr">
        <is>
          <t>Stage 5 (Parsimony)</t>
        </is>
      </c>
      <c r="B8" s="4" t="inlineStr">
        <is>
          <t>Scratchpad 2.0 Unbounded RL</t>
        </is>
      </c>
      <c r="C8" s="4" t="inlineStr">
        <is>
          <t>Tesla T4 (Kaggle)</t>
        </is>
      </c>
      <c r="D8" s="4" t="inlineStr">
        <is>
          <t>2,400 rollouts / 1h 41m</t>
        </is>
      </c>
      <c r="E8" s="4" t="inlineStr">
        <is>
          <t>Monotonic MDL</t>
        </is>
      </c>
      <c r="F8" s="4" t="inlineStr">
        <is>
          <t>Hyperbolic reward eliminated 128-token Truncation Bottleneck; full multi-depth proofs with zero truncation.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  <col width="24" customWidth="1" min="4" max="4"/>
    <col width="24" customWidth="1" min="5" max="5"/>
    <col width="43" customWidth="1" min="6" max="6"/>
    <col width="16" customWidth="1" min="7" max="7"/>
    <col width="25" customWidth="1" min="8" max="8"/>
    <col width="25" customWidth="1" min="9" max="9"/>
    <col width="20" customWidth="1" min="10" max="10"/>
  </cols>
  <sheetData>
    <row r="1">
      <c r="A1" s="1" t="inlineStr">
        <is>
          <t>Mathematical Foundations: Reasoning Density, KV-Cache Scaling &amp; Concurrency</t>
        </is>
      </c>
    </row>
    <row r="2"/>
    <row r="3">
      <c r="A3" s="15" t="inlineStr">
        <is>
          <t>1. Key-Value (KV) Cache Complexity &amp; Serving Concurrency (4 GB Allocation)</t>
        </is>
      </c>
    </row>
    <row r="4">
      <c r="A4" s="16" t="inlineStr">
        <is>
          <t>Serving Model</t>
        </is>
      </c>
      <c r="B4" s="16" t="inlineStr">
        <is>
          <t>Trace Length (N)</t>
        </is>
      </c>
      <c r="C4" s="16" t="inlineStr">
        <is>
          <t>Layers (L)</t>
        </is>
      </c>
      <c r="D4" s="16" t="inlineStr">
        <is>
          <t>Heads (H)</t>
        </is>
      </c>
      <c r="E4" s="16" t="inlineStr">
        <is>
          <t>Head Dim (D)</t>
        </is>
      </c>
      <c r="F4" s="16" t="inlineStr">
        <is>
          <t>Precision</t>
        </is>
      </c>
      <c r="G4" s="16" t="inlineStr">
        <is>
          <t>Bytes / Token</t>
        </is>
      </c>
      <c r="H4" s="16" t="inlineStr">
        <is>
          <t>KV Cache / Stream (MB)</t>
        </is>
      </c>
      <c r="I4" s="16" t="inlineStr">
        <is>
          <t>Max Streams (4GB Pool)</t>
        </is>
      </c>
      <c r="J4" s="16" t="inlineStr">
        <is>
          <t>Throughput Ratio</t>
        </is>
      </c>
    </row>
    <row r="5">
      <c r="A5" s="4" t="inlineStr">
        <is>
          <t>DeepSeek-1.5B (English CoT Baseline)</t>
        </is>
      </c>
      <c r="B5" s="4" t="n">
        <v>650</v>
      </c>
      <c r="C5" s="4" t="n">
        <v>28</v>
      </c>
      <c r="D5" s="4" t="n">
        <v>12</v>
      </c>
      <c r="E5" s="4" t="n">
        <v>128</v>
      </c>
      <c r="F5" s="4" t="inlineStr">
        <is>
          <t>bfloat16</t>
        </is>
      </c>
      <c r="G5" s="4" t="n">
        <v>172032</v>
      </c>
      <c r="H5" s="4" t="n">
        <v>106.64</v>
      </c>
      <c r="I5" s="4" t="n">
        <v>38</v>
      </c>
      <c r="J5" s="4" t="inlineStr">
        <is>
          <t>1.0× (Baseline)</t>
        </is>
      </c>
    </row>
    <row r="6">
      <c r="A6" s="17" t="inlineStr">
        <is>
          <t>DeepSeek-1.5B (SymboLM SRL v1.1)</t>
        </is>
      </c>
      <c r="B6" s="17" t="n">
        <v>60</v>
      </c>
      <c r="C6" s="17" t="n">
        <v>28</v>
      </c>
      <c r="D6" s="17" t="n">
        <v>12</v>
      </c>
      <c r="E6" s="17" t="n">
        <v>128</v>
      </c>
      <c r="F6" s="17" t="inlineStr">
        <is>
          <t>bfloat16</t>
        </is>
      </c>
      <c r="G6" s="17" t="n">
        <v>172032</v>
      </c>
      <c r="H6" s="17" t="n">
        <v>9.84</v>
      </c>
      <c r="I6" s="17" t="n">
        <v>416</v>
      </c>
      <c r="J6" s="17" t="inlineStr">
        <is>
          <t>10.9× Concurrency</t>
        </is>
      </c>
    </row>
    <row r="7"/>
    <row r="8">
      <c r="A8" s="15" t="inlineStr">
        <is>
          <t>2. Test-Time Search Economics: Majority Voting Best-of-8 Analysis</t>
        </is>
      </c>
    </row>
    <row r="9">
      <c r="A9" s="16" t="inlineStr">
        <is>
          <t>Strategy</t>
        </is>
      </c>
      <c r="B9" s="16" t="inlineStr">
        <is>
          <t>Rollouts (K)</t>
        </is>
      </c>
      <c r="C9" s="16" t="inlineStr">
        <is>
          <t>Tokens / Rollout</t>
        </is>
      </c>
      <c r="D9" s="16" t="inlineStr">
        <is>
          <t>Total Sequence Tokens</t>
        </is>
      </c>
      <c r="E9" s="16" t="inlineStr">
        <is>
          <t>Relative Compute Cost</t>
        </is>
      </c>
      <c r="F9" s="16" t="inlineStr">
        <is>
          <t>Economic Viability</t>
        </is>
      </c>
    </row>
    <row r="10">
      <c r="A10" s="4" t="inlineStr">
        <is>
          <t>Standard English (Greedy Baseline)</t>
        </is>
      </c>
      <c r="B10" s="4" t="n">
        <v>1</v>
      </c>
      <c r="C10" s="4" t="n">
        <v>650</v>
      </c>
      <c r="D10" s="4" t="n">
        <v>650</v>
      </c>
      <c r="E10" s="4" t="n">
        <v>1</v>
      </c>
      <c r="F10" s="4" t="inlineStr">
        <is>
          <t>Commercial Baseline</t>
        </is>
      </c>
    </row>
    <row r="11">
      <c r="A11" s="4" t="inlineStr">
        <is>
          <t>Standard English (Best-of-8 Ensemble)</t>
        </is>
      </c>
      <c r="B11" s="4" t="n">
        <v>8</v>
      </c>
      <c r="C11" s="4" t="n">
        <v>650</v>
      </c>
      <c r="D11" s="4" t="n">
        <v>5200</v>
      </c>
      <c r="E11" s="4" t="n">
        <v>8</v>
      </c>
      <c r="F11" s="4" t="inlineStr">
        <is>
          <t>Economically Prohibitive</t>
        </is>
      </c>
    </row>
    <row r="12">
      <c r="A12" s="4" t="inlineStr">
        <is>
          <t>SymboLM (Greedy Mode)</t>
        </is>
      </c>
      <c r="B12" s="4" t="n">
        <v>1</v>
      </c>
      <c r="C12" s="4" t="n">
        <v>55</v>
      </c>
      <c r="D12" s="4" t="n">
        <v>55</v>
      </c>
      <c r="E12" s="4" t="n">
        <v>0.08</v>
      </c>
      <c r="F12" s="4" t="inlineStr">
        <is>
          <t>12× Cheaper than Baseline</t>
        </is>
      </c>
    </row>
    <row r="13">
      <c r="A13" s="17" t="inlineStr">
        <is>
          <t>SymboLM (Best-of-8 Parallel Majority)</t>
        </is>
      </c>
      <c r="B13" s="17" t="n">
        <v>8</v>
      </c>
      <c r="C13" s="17" t="n">
        <v>55</v>
      </c>
      <c r="D13" s="17" t="n">
        <v>440</v>
      </c>
      <c r="E13" s="17" t="n">
        <v>0.68</v>
      </c>
      <c r="F13" s="17" t="inlineStr">
        <is>
          <t>32.3% Cheaper than Single English Trace!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19" customWidth="1" min="3" max="3"/>
    <col width="30" customWidth="1" min="4" max="4"/>
    <col width="30" customWidth="1" min="5" max="5"/>
    <col width="41" customWidth="1" min="6" max="6"/>
  </cols>
  <sheetData>
    <row r="1">
      <c r="A1" s="1" t="inlineStr">
        <is>
          <t>Frontier Hardware Co-Design: DeepSeek-V4.1-Flash × SymboLM Compound Multiplier</t>
        </is>
      </c>
    </row>
    <row r="2"/>
    <row r="3">
      <c r="A3" s="3" t="inlineStr">
        <is>
          <t>Architectural Configuration</t>
        </is>
      </c>
      <c r="B3" s="3" t="inlineStr">
        <is>
          <t>KV Cache Density (B/tok)</t>
        </is>
      </c>
      <c r="C3" s="3" t="inlineStr">
        <is>
          <t>Reasoning Tokens</t>
        </is>
      </c>
      <c r="D3" s="3" t="inlineStr">
        <is>
          <t>Active Sequence Memory (KB)</t>
        </is>
      </c>
      <c r="E3" s="3" t="inlineStr">
        <is>
          <t>Active Sequence Memory (MB)</t>
        </is>
      </c>
      <c r="F3" s="3" t="inlineStr">
        <is>
          <t>Serving Footprint Reduction Multiplier</t>
        </is>
      </c>
    </row>
    <row r="4">
      <c r="A4" s="4" t="inlineStr">
        <is>
          <t>Standard Decoder-Only (Llama / Qwen)</t>
        </is>
      </c>
      <c r="B4" s="4" t="n">
        <v>4000</v>
      </c>
      <c r="C4" s="4" t="n">
        <v>2000</v>
      </c>
      <c r="D4" s="4" t="n">
        <v>8000</v>
      </c>
      <c r="E4" s="4" t="n">
        <v>8</v>
      </c>
      <c r="F4" s="4" t="inlineStr">
        <is>
          <t>1.0× (Baseline)</t>
        </is>
      </c>
    </row>
    <row r="5">
      <c r="A5" s="4" t="inlineStr">
        <is>
          <t>DeepSeek-V4.1-Flash Alone</t>
        </is>
      </c>
      <c r="B5" s="4" t="n">
        <v>890</v>
      </c>
      <c r="C5" s="4" t="n">
        <v>2000</v>
      </c>
      <c r="D5" s="4" t="n">
        <v>1780</v>
      </c>
      <c r="E5" s="4" t="n">
        <v>1.78</v>
      </c>
      <c r="F5" s="4" t="inlineStr">
        <is>
          <t>4.5× Hardware Reduction</t>
        </is>
      </c>
    </row>
    <row r="6">
      <c r="A6" s="4" t="inlineStr">
        <is>
          <t>SymboLM Alone (Standard Base)</t>
        </is>
      </c>
      <c r="B6" s="4" t="n">
        <v>4000</v>
      </c>
      <c r="C6" s="4" t="n">
        <v>40</v>
      </c>
      <c r="D6" s="4" t="n">
        <v>160</v>
      </c>
      <c r="E6" s="4" t="n">
        <v>0.16</v>
      </c>
      <c r="F6" s="4" t="inlineStr">
        <is>
          <t>50.0× Sequence Reduction</t>
        </is>
      </c>
    </row>
    <row r="7">
      <c r="A7" s="17" t="inlineStr">
        <is>
          <t>SymboLM + DeepSeek-V4.1-Flash Co-Design</t>
        </is>
      </c>
      <c r="B7" s="17" t="n">
        <v>890</v>
      </c>
      <c r="C7" s="17" t="n">
        <v>40</v>
      </c>
      <c r="D7" s="17" t="n">
        <v>35.6</v>
      </c>
      <c r="E7" s="17" t="n">
        <v>0.0356</v>
      </c>
      <c r="F7" s="17" t="inlineStr">
        <is>
          <t>224.7× COMPOUND SERVING REDUCTION!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8" customWidth="1" min="3" max="3"/>
    <col width="21" customWidth="1" min="4" max="4"/>
    <col width="26" customWidth="1" min="5" max="5"/>
    <col width="16" customWidth="1" min="6" max="6"/>
  </cols>
  <sheetData>
    <row r="1">
      <c r="A1" s="1" t="inlineStr">
        <is>
          <t>SymboLM-1.5B-v1.0 1,000-Question Multi-Year Benchmark (Tesla P100 GPU)</t>
        </is>
      </c>
    </row>
    <row r="2"/>
    <row r="3">
      <c r="A3" s="16" t="inlineStr">
        <is>
          <t>Benchmark Year</t>
        </is>
      </c>
      <c r="B3" s="16" t="inlineStr">
        <is>
          <t>Sample Count</t>
        </is>
      </c>
      <c r="C3" s="16" t="inlineStr">
        <is>
          <t>Pass@1 Accuracy</t>
        </is>
      </c>
      <c r="D3" s="16" t="inlineStr">
        <is>
          <t>SymboLM Avg Tokens</t>
        </is>
      </c>
      <c r="E3" s="16" t="inlineStr">
        <is>
          <t>Baseline CoT Avg Tokens</t>
        </is>
      </c>
      <c r="F3" s="16" t="inlineStr">
        <is>
          <t>Token Savings</t>
        </is>
      </c>
    </row>
    <row r="4">
      <c r="A4" s="4" t="inlineStr">
        <is>
          <t>2021 (GSM8K, SVAMP, Arithmetic)</t>
        </is>
      </c>
      <c r="B4" s="18" t="n">
        <v>200</v>
      </c>
      <c r="C4" s="6" t="n">
        <v>0.72</v>
      </c>
      <c r="D4" s="7" t="n">
        <v>114.3</v>
      </c>
      <c r="E4" s="7" t="n">
        <v>198</v>
      </c>
      <c r="F4" s="6" t="n">
        <v>0.423</v>
      </c>
    </row>
    <row r="5">
      <c r="A5" s="4" t="inlineStr">
        <is>
          <t>2022 (AMC 10/12 Invariants, Vieta)</t>
        </is>
      </c>
      <c r="B5" s="18" t="n">
        <v>200</v>
      </c>
      <c r="C5" s="6" t="n">
        <v>0.71</v>
      </c>
      <c r="D5" s="7" t="n">
        <v>128</v>
      </c>
      <c r="E5" s="7" t="n">
        <v>214.5</v>
      </c>
      <c r="F5" s="6" t="n">
        <v>0.403</v>
      </c>
    </row>
    <row r="6">
      <c r="A6" s="4" t="inlineStr">
        <is>
          <t>2023 (MATH Olympiad Derangements)</t>
        </is>
      </c>
      <c r="B6" s="18" t="n">
        <v>200</v>
      </c>
      <c r="C6" s="6" t="n">
        <v>0.845</v>
      </c>
      <c r="D6" s="7" t="n">
        <v>128</v>
      </c>
      <c r="E6" s="7" t="n">
        <v>264.5</v>
      </c>
      <c r="F6" s="6" t="n">
        <v>0.516</v>
      </c>
    </row>
    <row r="7">
      <c r="A7" s="4" t="inlineStr">
        <is>
          <t>2024 (AIME 2024, Legendre Valuations)</t>
        </is>
      </c>
      <c r="B7" s="18" t="n">
        <v>200</v>
      </c>
      <c r="C7" s="6" t="n">
        <v>0.725</v>
      </c>
      <c r="D7" s="7" t="n">
        <v>128</v>
      </c>
      <c r="E7" s="7" t="n">
        <v>283</v>
      </c>
      <c r="F7" s="6" t="n">
        <v>0.548</v>
      </c>
    </row>
    <row r="8">
      <c r="A8" s="4" t="inlineStr">
        <is>
          <t>2026 (Modern Math 2026, Multi-Moduli CRT)</t>
        </is>
      </c>
      <c r="B8" s="18" t="n">
        <v>200</v>
      </c>
      <c r="C8" s="6" t="n">
        <v>0.38</v>
      </c>
      <c r="D8" s="7" t="n">
        <v>128</v>
      </c>
      <c r="E8" s="7" t="n">
        <v>309</v>
      </c>
      <c r="F8" s="6" t="n">
        <v>0.586</v>
      </c>
    </row>
    <row r="9">
      <c r="A9" s="12" t="inlineStr">
        <is>
          <t>OVERALL 1,000-QUESTION SUITE</t>
        </is>
      </c>
      <c r="B9" s="12">
        <f>SUM(B4:B8)</f>
        <v/>
      </c>
      <c r="C9" s="13" t="n">
        <v>0.676</v>
      </c>
      <c r="D9" s="12" t="n">
        <v>125.3</v>
      </c>
      <c r="E9" s="12" t="n">
        <v>253.8</v>
      </c>
      <c r="F9" s="13" t="n">
        <v>0.5065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2026-10-12T15:43:40Z</dcterms:created>
  <dcterms:modified xmlns:dcterms="http://purl.org/dc/terms/" xmlns:xsi="http://www.w3.org/2001/XMLSchema-instance" xsi:type="dcterms:W3CDTF">2026-10-12T15:43:40Z</dcterms:modified>
</cp:coreProperties>
</file>